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/>
  <mc:AlternateContent xmlns:mc="http://schemas.openxmlformats.org/markup-compatibility/2006">
    <mc:Choice Requires="x15">
      <x15ac:absPath xmlns:x15ac="http://schemas.microsoft.com/office/spreadsheetml/2010/11/ac" url="C:\Users\ALWYN\Downloads\"/>
    </mc:Choice>
  </mc:AlternateContent>
  <xr:revisionPtr revIDLastSave="0" documentId="13_ncr:1_{DDE92C36-6254-4279-8AE0-A5B9E4135017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Blad1" sheetId="1" r:id="rId1"/>
    <sheet name="Blad2" sheetId="2" r:id="rId2"/>
    <sheet name="Blad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6" i="3" l="1"/>
  <c r="C30" i="3" s="1"/>
  <c r="C18" i="3"/>
  <c r="C26" i="3" s="1"/>
  <c r="C31" i="3" s="1"/>
  <c r="B26" i="2"/>
  <c r="C30" i="2" s="1"/>
  <c r="C18" i="2"/>
  <c r="C26" i="2" s="1"/>
  <c r="C31" i="2" s="1"/>
  <c r="E27" i="3" l="1"/>
  <c r="F27" i="3" s="1"/>
  <c r="G27" i="3" s="1"/>
  <c r="E26" i="3"/>
  <c r="E28" i="3"/>
  <c r="F28" i="3" s="1"/>
  <c r="G28" i="3" s="1"/>
  <c r="E28" i="2"/>
  <c r="F28" i="2" s="1"/>
  <c r="G28" i="2" s="1"/>
  <c r="E26" i="2"/>
  <c r="E27" i="2"/>
  <c r="F27" i="2" s="1"/>
  <c r="G27" i="2" s="1"/>
  <c r="B26" i="1"/>
  <c r="C30" i="1" s="1"/>
  <c r="C18" i="1"/>
  <c r="C26" i="1" s="1"/>
  <c r="C31" i="1" s="1"/>
  <c r="C32" i="3" l="1"/>
  <c r="F26" i="3"/>
  <c r="G26" i="3" s="1"/>
  <c r="C32" i="2"/>
  <c r="F26" i="2"/>
  <c r="G26" i="2" s="1"/>
  <c r="E28" i="1"/>
  <c r="E26" i="1"/>
  <c r="E27" i="1"/>
  <c r="F28" i="1" l="1"/>
  <c r="G28" i="1" s="1"/>
  <c r="F27" i="1"/>
  <c r="G27" i="1" s="1"/>
  <c r="F26" i="1"/>
  <c r="G26" i="1" s="1"/>
  <c r="C32" i="1"/>
</calcChain>
</file>

<file path=xl/sharedStrings.xml><?xml version="1.0" encoding="utf-8"?>
<sst xmlns="http://schemas.openxmlformats.org/spreadsheetml/2006/main" count="114" uniqueCount="40">
  <si>
    <t>Werkverdeling / Work breakdown</t>
  </si>
  <si>
    <t>Beskrywing / Description</t>
  </si>
  <si>
    <t>Totale ure / Total hours:</t>
  </si>
  <si>
    <t>Deelneming / Participation</t>
  </si>
  <si>
    <t>Studentnommer / Student number</t>
  </si>
  <si>
    <t>Jou take / Your tasks</t>
  </si>
  <si>
    <t>Jou inligting / Your info (1</t>
  </si>
  <si>
    <t>(2</t>
  </si>
  <si>
    <t>(3</t>
  </si>
  <si>
    <t>Ure per taak /
Hours per task</t>
  </si>
  <si>
    <t>Totale ure / 
Total hours</t>
  </si>
  <si>
    <t>Naam en van / Name and surname</t>
  </si>
  <si>
    <t>Maak seker jou nommer is reg / Ensure your number is correct</t>
  </si>
  <si>
    <t>Gee ure vir elke taak / Give hours for each task</t>
  </si>
  <si>
    <t>Gebruik asb. studentenommers en nie name nie / Please use student numbers and not names</t>
  </si>
  <si>
    <t>Maak seker dat studentenommers reg is / Ensure student numbers are correct</t>
  </si>
  <si>
    <t>Volle naam / 
Full name:</t>
  </si>
  <si>
    <t>Studentnommer / 
Student number:</t>
  </si>
  <si>
    <t>Groeplede / 
Group members</t>
  </si>
  <si>
    <t>%</t>
  </si>
  <si>
    <t xml:space="preserve">Persentasie bydrae in projek(op grond van take verrig, ure spandeer en moeilikheidsgraad van bydrae).   /  
Percentage contribution in project (based on tasks done, hours spent and difficulty of contribution). </t>
  </si>
  <si>
    <t xml:space="preserve">Totale ure vir groep / Total hours for group: </t>
  </si>
  <si>
    <t>Gewig / Weight</t>
  </si>
  <si>
    <t>Aantal groeplede / Number of group members:</t>
  </si>
  <si>
    <t>STDEV:</t>
  </si>
  <si>
    <t>Niemand sal meer as 120% van die punt ontvang nie en die GEWIG MAG AANGEPAS WORD / Nobody will  receive more than 120% of the mark and the WEIGHT MAY BE CHANGED</t>
  </si>
  <si>
    <t>ITRW324</t>
  </si>
  <si>
    <t>Indien die vorm nie reg ingevul word nie, kry jy 0 vir jou deelnamepunt! / 
If this form is not completed correctly you will receive 0 for your participation mark!
Vul slegs data in geel selle in EN NIE BLOU NIE / 
Only enter data in yellow cells AND NOT BLUE
Moet geen veranderinge aan die vorm maak, bv. nuwe rye, ens. nie / 
Don't make any changes to the vorm e.g. new rows, etc.</t>
  </si>
  <si>
    <t>Lys en beskryf al jou take kortliks, nie net ŉ oorsig nie / List and describe all your tasks briefly and not just an overview</t>
  </si>
  <si>
    <t>Groepnr / Group no:</t>
  </si>
  <si>
    <t>Punt vir projek / Mark for project:</t>
  </si>
  <si>
    <t>Gewig2 / Weight2</t>
  </si>
  <si>
    <t>Punt / Mark</t>
  </si>
  <si>
    <t>ALWYN BARNARD</t>
  </si>
  <si>
    <t>Project management and planning</t>
  </si>
  <si>
    <t>Set up VMs</t>
  </si>
  <si>
    <t>Code and Deploy Project 3</t>
  </si>
  <si>
    <t>Testing of program</t>
  </si>
  <si>
    <t>Code and Deploy Project 1</t>
  </si>
  <si>
    <t>Code and Deploy Project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</si>
</sst>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2" fontId="7" fillId="3" borderId="1" xfId="0" applyNumberFormat="1" applyFont="1" applyFill="1" applyBorder="1"/>
    <xf numFmtId="164" fontId="7" fillId="3" borderId="1" xfId="0" applyNumberFormat="1" applyFont="1" applyFill="1" applyBorder="1"/>
    <xf numFmtId="0" fontId="0" fillId="0" borderId="0" xfId="0" applyFill="1" applyBorder="1" applyAlignment="1">
      <alignment horizontal="right"/>
    </xf>
    <xf numFmtId="164" fontId="7" fillId="4" borderId="1" xfId="0" applyNumberFormat="1" applyFont="1" applyFill="1" applyBorder="1"/>
    <xf numFmtId="0" fontId="0" fillId="3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right"/>
    </xf>
    <xf numFmtId="0" fontId="4" fillId="0" borderId="5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0" fontId="0" fillId="0" borderId="6" xfId="0" applyBorder="1"/>
    <xf numFmtId="0" fontId="0" fillId="0" borderId="5" xfId="0" applyBorder="1"/>
    <xf numFmtId="0" fontId="0" fillId="2" borderId="5" xfId="0" applyFill="1" applyBorder="1" applyAlignment="1">
      <alignment horizontal="right" wrapText="1"/>
    </xf>
    <xf numFmtId="0" fontId="0" fillId="2" borderId="5" xfId="0" applyFill="1" applyBorder="1"/>
    <xf numFmtId="0" fontId="0" fillId="0" borderId="0" xfId="0" applyBorder="1" applyAlignment="1">
      <alignment horizontal="right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horizontal="center" wrapText="1"/>
    </xf>
    <xf numFmtId="0" fontId="6" fillId="2" borderId="5" xfId="0" applyFont="1" applyFill="1" applyBorder="1" applyAlignment="1">
      <alignment horizontal="right"/>
    </xf>
    <xf numFmtId="164" fontId="7" fillId="3" borderId="7" xfId="0" applyNumberFormat="1" applyFont="1" applyFill="1" applyBorder="1"/>
    <xf numFmtId="0" fontId="0" fillId="2" borderId="5" xfId="0" applyFill="1" applyBorder="1" applyAlignment="1">
      <alignment horizontal="right"/>
    </xf>
    <xf numFmtId="0" fontId="0" fillId="0" borderId="0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5" borderId="1" xfId="0" applyFill="1" applyBorder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6" fillId="0" borderId="0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15" workbookViewId="0">
      <selection activeCell="D29" sqref="D29"/>
    </sheetView>
  </sheetViews>
  <sheetFormatPr defaultRowHeight="14.4" x14ac:dyDescent="0.3"/>
  <cols>
    <col min="1" max="1" width="24.109375" bestFit="1" customWidth="1"/>
    <col min="2" max="2" width="64.5546875" customWidth="1"/>
    <col min="3" max="6" width="15.6640625" customWidth="1"/>
    <col min="7" max="7" width="12.6640625" customWidth="1"/>
  </cols>
  <sheetData>
    <row r="1" spans="1:7" ht="21" x14ac:dyDescent="0.4">
      <c r="A1" s="41" t="s">
        <v>26</v>
      </c>
      <c r="B1" s="42"/>
      <c r="C1" s="42"/>
      <c r="D1" s="42"/>
      <c r="E1" s="42"/>
      <c r="F1" s="42"/>
      <c r="G1" s="43"/>
    </row>
    <row r="2" spans="1:7" ht="30" customHeight="1" x14ac:dyDescent="0.3">
      <c r="A2" s="38" t="s">
        <v>0</v>
      </c>
      <c r="B2" s="39"/>
      <c r="C2" s="39"/>
      <c r="D2" s="39"/>
      <c r="E2" s="39"/>
      <c r="F2" s="39"/>
      <c r="G2" s="40"/>
    </row>
    <row r="3" spans="1:7" ht="108.75" customHeight="1" x14ac:dyDescent="0.3">
      <c r="A3" s="35" t="s">
        <v>27</v>
      </c>
      <c r="B3" s="36"/>
      <c r="C3" s="36"/>
      <c r="D3" s="36"/>
      <c r="E3" s="36"/>
      <c r="F3" s="36"/>
      <c r="G3" s="37"/>
    </row>
    <row r="4" spans="1:7" ht="30" customHeight="1" x14ac:dyDescent="0.3">
      <c r="A4" s="13" t="s">
        <v>29</v>
      </c>
      <c r="B4" s="9"/>
      <c r="C4" s="14"/>
      <c r="D4" s="15"/>
      <c r="E4" s="15"/>
      <c r="F4" s="15"/>
      <c r="G4" s="16"/>
    </row>
    <row r="5" spans="1:7" x14ac:dyDescent="0.3">
      <c r="A5" s="17"/>
      <c r="B5" s="15"/>
      <c r="C5" s="15"/>
      <c r="D5" s="15"/>
      <c r="E5" s="15"/>
      <c r="F5" s="15"/>
      <c r="G5" s="16"/>
    </row>
    <row r="6" spans="1:7" ht="28.8" x14ac:dyDescent="0.3">
      <c r="A6" s="18" t="s">
        <v>16</v>
      </c>
      <c r="B6" s="10" t="s">
        <v>33</v>
      </c>
      <c r="C6" s="15"/>
      <c r="D6" s="44" t="s">
        <v>11</v>
      </c>
      <c r="E6" s="44"/>
      <c r="F6" s="44"/>
      <c r="G6" s="45"/>
    </row>
    <row r="7" spans="1:7" ht="28.8" x14ac:dyDescent="0.3">
      <c r="A7" s="18" t="s">
        <v>17</v>
      </c>
      <c r="B7" s="11">
        <v>28430093</v>
      </c>
      <c r="C7" s="15"/>
      <c r="D7" s="44" t="s">
        <v>12</v>
      </c>
      <c r="E7" s="44"/>
      <c r="F7" s="44"/>
      <c r="G7" s="45"/>
    </row>
    <row r="8" spans="1:7" x14ac:dyDescent="0.3">
      <c r="A8" s="17"/>
      <c r="B8" s="15"/>
      <c r="C8" s="15"/>
      <c r="D8" s="15"/>
      <c r="E8" s="15"/>
      <c r="F8" s="15"/>
      <c r="G8" s="16"/>
    </row>
    <row r="9" spans="1:7" x14ac:dyDescent="0.3">
      <c r="A9" s="17"/>
      <c r="B9" s="33" t="s">
        <v>28</v>
      </c>
      <c r="C9" s="33"/>
      <c r="D9" s="33"/>
      <c r="E9" s="33"/>
      <c r="F9" s="33"/>
      <c r="G9" s="34"/>
    </row>
    <row r="10" spans="1:7" x14ac:dyDescent="0.3">
      <c r="A10" s="17"/>
      <c r="B10" s="33" t="s">
        <v>13</v>
      </c>
      <c r="C10" s="33"/>
      <c r="D10" s="33"/>
      <c r="E10" s="33"/>
      <c r="F10" s="33"/>
      <c r="G10" s="34"/>
    </row>
    <row r="11" spans="1:7" ht="28.8" x14ac:dyDescent="0.3">
      <c r="A11" s="19" t="s">
        <v>5</v>
      </c>
      <c r="B11" s="1" t="s">
        <v>1</v>
      </c>
      <c r="C11" s="2" t="s">
        <v>9</v>
      </c>
      <c r="D11" s="15"/>
      <c r="E11" s="15"/>
      <c r="F11" s="15"/>
      <c r="G11" s="16"/>
    </row>
    <row r="12" spans="1:7" x14ac:dyDescent="0.3">
      <c r="A12" s="19">
        <v>1</v>
      </c>
      <c r="B12" s="30" t="s">
        <v>34</v>
      </c>
      <c r="C12" s="10">
        <v>5</v>
      </c>
      <c r="D12" s="15"/>
      <c r="E12" s="15"/>
      <c r="F12" s="15"/>
      <c r="G12" s="16"/>
    </row>
    <row r="13" spans="1:7" x14ac:dyDescent="0.3">
      <c r="A13" s="19">
        <v>2</v>
      </c>
      <c r="B13" s="30" t="s">
        <v>35</v>
      </c>
      <c r="C13" s="10">
        <v>30</v>
      </c>
      <c r="D13" s="15"/>
      <c r="E13" s="15"/>
      <c r="F13" s="15"/>
      <c r="G13" s="16"/>
    </row>
    <row r="14" spans="1:7" x14ac:dyDescent="0.3">
      <c r="A14" s="19">
        <v>3</v>
      </c>
      <c r="B14" s="30" t="s">
        <v>36</v>
      </c>
      <c r="C14" s="10">
        <v>20</v>
      </c>
      <c r="D14" s="15"/>
      <c r="E14" s="15"/>
      <c r="F14" s="15"/>
      <c r="G14" s="16"/>
    </row>
    <row r="15" spans="1:7" x14ac:dyDescent="0.3">
      <c r="A15" s="19">
        <v>4</v>
      </c>
      <c r="B15" s="30" t="s">
        <v>37</v>
      </c>
      <c r="C15" s="10">
        <v>2</v>
      </c>
      <c r="D15" s="15"/>
      <c r="E15" s="15"/>
      <c r="F15" s="15"/>
      <c r="G15" s="16"/>
    </row>
    <row r="16" spans="1:7" x14ac:dyDescent="0.3">
      <c r="A16" s="19">
        <v>5</v>
      </c>
      <c r="B16" s="30"/>
      <c r="C16" s="10"/>
      <c r="D16" s="15"/>
      <c r="E16" s="15"/>
      <c r="F16" s="15"/>
      <c r="G16" s="16"/>
    </row>
    <row r="17" spans="1:7" x14ac:dyDescent="0.3">
      <c r="A17" s="17"/>
      <c r="B17" s="15"/>
      <c r="C17" s="15"/>
      <c r="D17" s="15"/>
      <c r="E17" s="15"/>
      <c r="F17" s="15"/>
      <c r="G17" s="16"/>
    </row>
    <row r="18" spans="1:7" x14ac:dyDescent="0.3">
      <c r="A18" s="17"/>
      <c r="B18" s="20" t="s">
        <v>2</v>
      </c>
      <c r="C18" s="4">
        <f>SUM(C12:C16)</f>
        <v>57</v>
      </c>
      <c r="D18" s="15"/>
      <c r="E18" s="15"/>
      <c r="F18" s="15"/>
      <c r="G18" s="16"/>
    </row>
    <row r="19" spans="1:7" x14ac:dyDescent="0.3">
      <c r="A19" s="17"/>
      <c r="B19" s="15"/>
      <c r="C19" s="15"/>
      <c r="D19" s="15"/>
      <c r="E19" s="15"/>
      <c r="F19" s="15"/>
      <c r="G19" s="16"/>
    </row>
    <row r="20" spans="1:7" ht="30" customHeight="1" x14ac:dyDescent="0.3">
      <c r="A20" s="38" t="s">
        <v>3</v>
      </c>
      <c r="B20" s="39"/>
      <c r="C20" s="39"/>
      <c r="D20" s="39"/>
      <c r="E20" s="39"/>
      <c r="F20" s="39"/>
      <c r="G20" s="40"/>
    </row>
    <row r="21" spans="1:7" s="32" customFormat="1" ht="15.6" x14ac:dyDescent="0.3">
      <c r="A21" s="31"/>
      <c r="B21" s="46" t="s">
        <v>14</v>
      </c>
      <c r="C21" s="46"/>
      <c r="D21" s="46"/>
      <c r="E21" s="46"/>
      <c r="F21" s="46"/>
      <c r="G21" s="47"/>
    </row>
    <row r="22" spans="1:7" s="32" customFormat="1" ht="30" customHeight="1" x14ac:dyDescent="0.3">
      <c r="A22" s="31"/>
      <c r="B22" s="46" t="s">
        <v>20</v>
      </c>
      <c r="C22" s="46"/>
      <c r="D22" s="46"/>
      <c r="E22" s="46"/>
      <c r="F22" s="46"/>
      <c r="G22" s="47"/>
    </row>
    <row r="23" spans="1:7" s="32" customFormat="1" ht="30" customHeight="1" x14ac:dyDescent="0.3">
      <c r="A23" s="31"/>
      <c r="B23" s="46" t="s">
        <v>25</v>
      </c>
      <c r="C23" s="46"/>
      <c r="D23" s="46"/>
      <c r="E23" s="46"/>
      <c r="F23" s="46"/>
      <c r="G23" s="47"/>
    </row>
    <row r="24" spans="1:7" s="32" customFormat="1" ht="15.6" x14ac:dyDescent="0.3">
      <c r="A24" s="31"/>
      <c r="B24" s="46" t="s">
        <v>15</v>
      </c>
      <c r="C24" s="46"/>
      <c r="D24" s="46"/>
      <c r="E24" s="46"/>
      <c r="F24" s="46"/>
      <c r="G24" s="47"/>
    </row>
    <row r="25" spans="1:7" ht="28.8" x14ac:dyDescent="0.3">
      <c r="A25" s="21" t="s">
        <v>18</v>
      </c>
      <c r="B25" s="1" t="s">
        <v>4</v>
      </c>
      <c r="C25" s="2" t="s">
        <v>10</v>
      </c>
      <c r="D25" s="2" t="s">
        <v>19</v>
      </c>
      <c r="E25" s="2" t="s">
        <v>22</v>
      </c>
      <c r="F25" s="2" t="s">
        <v>31</v>
      </c>
      <c r="G25" s="22" t="s">
        <v>32</v>
      </c>
    </row>
    <row r="26" spans="1:7" ht="23.4" x14ac:dyDescent="0.45">
      <c r="A26" s="23" t="s">
        <v>6</v>
      </c>
      <c r="B26" s="3">
        <f>B7</f>
        <v>28430093</v>
      </c>
      <c r="C26" s="4">
        <f>C18</f>
        <v>57</v>
      </c>
      <c r="D26" s="10">
        <v>100</v>
      </c>
      <c r="E26" s="6">
        <f>IF(D26&gt;0,D26/SUM($D$26:$D$28)*100*$C$30,"")</f>
        <v>99.999999999999986</v>
      </c>
      <c r="F26" s="6">
        <f>IF(D26&gt;0,IF(E26&gt;120,120,E26),"")</f>
        <v>99.999999999999986</v>
      </c>
      <c r="G26" s="24">
        <f>F26/100*$C$34</f>
        <v>79.999999999999986</v>
      </c>
    </row>
    <row r="27" spans="1:7" ht="23.4" x14ac:dyDescent="0.45">
      <c r="A27" s="25" t="s">
        <v>7</v>
      </c>
      <c r="B27" s="12">
        <v>24124753</v>
      </c>
      <c r="C27" s="10">
        <v>50</v>
      </c>
      <c r="D27" s="10">
        <v>100</v>
      </c>
      <c r="E27" s="6">
        <f>IF(D27&gt;0,D27/SUM($D$26:$D$28)*100*$C$30,"")</f>
        <v>99.999999999999986</v>
      </c>
      <c r="F27" s="6">
        <f t="shared" ref="F27:F28" si="0">IF(D27&gt;0,IF(E27&gt;120,120,E27),"")</f>
        <v>99.999999999999986</v>
      </c>
      <c r="G27" s="24">
        <f>F27/100*$C$34</f>
        <v>79.999999999999986</v>
      </c>
    </row>
    <row r="28" spans="1:7" ht="23.4" x14ac:dyDescent="0.45">
      <c r="A28" s="25" t="s">
        <v>8</v>
      </c>
      <c r="B28" s="12">
        <v>28667735</v>
      </c>
      <c r="C28" s="10">
        <v>20</v>
      </c>
      <c r="D28" s="10">
        <v>100</v>
      </c>
      <c r="E28" s="6">
        <f>IF(D28&gt;0,D28/SUM($D$26:$D$28)*100*$C$30,"")</f>
        <v>99.999999999999986</v>
      </c>
      <c r="F28" s="6">
        <f t="shared" si="0"/>
        <v>99.999999999999986</v>
      </c>
      <c r="G28" s="24">
        <f>F28/100*$C$34</f>
        <v>79.999999999999986</v>
      </c>
    </row>
    <row r="29" spans="1:7" x14ac:dyDescent="0.3">
      <c r="A29" s="17"/>
      <c r="B29" s="15"/>
      <c r="C29" s="15"/>
      <c r="D29" s="15"/>
      <c r="E29" s="15"/>
      <c r="F29" s="15"/>
      <c r="G29" s="16"/>
    </row>
    <row r="30" spans="1:7" x14ac:dyDescent="0.3">
      <c r="A30" s="17"/>
      <c r="B30" s="20" t="s">
        <v>23</v>
      </c>
      <c r="C30" s="4">
        <f>COUNT(B26:B28)</f>
        <v>3</v>
      </c>
      <c r="D30" s="15"/>
      <c r="E30" s="15"/>
      <c r="F30" s="15"/>
      <c r="G30" s="16"/>
    </row>
    <row r="31" spans="1:7" x14ac:dyDescent="0.3">
      <c r="A31" s="17"/>
      <c r="B31" s="20" t="s">
        <v>21</v>
      </c>
      <c r="C31" s="4">
        <f>SUM(C26:C28)</f>
        <v>127</v>
      </c>
      <c r="D31" s="26"/>
      <c r="E31" s="15"/>
      <c r="F31" s="15"/>
      <c r="G31" s="16"/>
    </row>
    <row r="32" spans="1:7" ht="23.4" x14ac:dyDescent="0.45">
      <c r="A32" s="17"/>
      <c r="B32" s="20" t="s">
        <v>24</v>
      </c>
      <c r="C32" s="5">
        <f>_xlfn.STDEV.P(E26:E28)</f>
        <v>0</v>
      </c>
      <c r="D32" s="15"/>
      <c r="E32" s="15"/>
      <c r="F32" s="15"/>
      <c r="G32" s="16"/>
    </row>
    <row r="33" spans="1:7" x14ac:dyDescent="0.3">
      <c r="A33" s="17"/>
      <c r="B33" s="15"/>
      <c r="C33" s="15"/>
      <c r="D33" s="15"/>
      <c r="E33" s="15"/>
      <c r="F33" s="15"/>
      <c r="G33" s="16"/>
    </row>
    <row r="34" spans="1:7" ht="23.4" x14ac:dyDescent="0.45">
      <c r="A34" s="17"/>
      <c r="B34" s="7" t="s">
        <v>30</v>
      </c>
      <c r="C34" s="8">
        <v>80</v>
      </c>
      <c r="D34" s="15"/>
      <c r="E34" s="15"/>
      <c r="F34" s="15"/>
      <c r="G34" s="16"/>
    </row>
    <row r="35" spans="1:7" ht="15" thickBot="1" x14ac:dyDescent="0.35">
      <c r="A35" s="27"/>
      <c r="B35" s="28"/>
      <c r="C35" s="28"/>
      <c r="D35" s="28"/>
      <c r="E35" s="28"/>
      <c r="F35" s="28"/>
      <c r="G35" s="29"/>
    </row>
  </sheetData>
  <mergeCells count="12">
    <mergeCell ref="B21:G21"/>
    <mergeCell ref="B22:G22"/>
    <mergeCell ref="B23:G23"/>
    <mergeCell ref="B24:G24"/>
    <mergeCell ref="A20:G20"/>
    <mergeCell ref="B9:G9"/>
    <mergeCell ref="B10:G10"/>
    <mergeCell ref="A3:G3"/>
    <mergeCell ref="A2:G2"/>
    <mergeCell ref="A1:G1"/>
    <mergeCell ref="D6:G6"/>
    <mergeCell ref="D7:G7"/>
  </mergeCell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5708098E-2FAD-45FE-BB2E-53003C465C3D}">
            <x14:iconSet iconSet="3Symbols2" custom="1">
              <x14:cfvo type="percent">
                <xm:f>0</xm:f>
              </x14:cfvo>
              <x14:cfvo type="num">
                <xm:f>15</xm:f>
              </x14:cfvo>
              <x14:cfvo type="num">
                <xm:f>20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C32</xm:sqref>
        </x14:conditionalFormatting>
        <x14:conditionalFormatting xmlns:xm="http://schemas.microsoft.com/office/excel/2006/main">
          <x14:cfRule type="iconSet" priority="9" id="{6E871AC0-15D8-4C5B-BFEA-B337AB481234}">
            <x14:iconSet iconSet="5Arrows" custom="1">
              <x14:cfvo type="percent">
                <xm:f>0</xm:f>
              </x14:cfvo>
              <x14:cfvo type="num">
                <xm:f>40</xm:f>
              </x14:cfvo>
              <x14:cfvo type="num">
                <xm:f>80</xm:f>
              </x14:cfvo>
              <x14:cfvo type="num">
                <xm:f>110</xm:f>
              </x14:cfvo>
              <x14:cfvo type="num" gte="0">
                <xm:f>120</xm:f>
              </x14:cfvo>
              <x14:cfIcon iconSet="3TrafficLights1" iconId="0"/>
              <x14:cfIcon iconSet="3TrafficLights1" iconId="1"/>
              <x14:cfIcon iconSet="3Symbols2" iconId="2"/>
              <x14:cfIcon iconSet="3TrafficLights1" iconId="1"/>
              <x14:cfIcon iconSet="3TrafficLights1" iconId="0"/>
            </x14:iconSet>
          </x14:cfRule>
          <xm:sqref>E26:E28</xm:sqref>
        </x14:conditionalFormatting>
        <x14:conditionalFormatting xmlns:xm="http://schemas.microsoft.com/office/excel/2006/main">
          <x14:cfRule type="iconSet" priority="10" id="{7BB9706E-4816-4009-8075-80987B412BDD}">
            <x14:iconSet iconSet="5Arrows" custom="1">
              <x14:cfvo type="percent">
                <xm:f>0</xm:f>
              </x14:cfvo>
              <x14:cfvo type="num">
                <xm:f>40</xm:f>
              </x14:cfvo>
              <x14:cfvo type="num">
                <xm:f>80</xm:f>
              </x14:cfvo>
              <x14:cfvo type="num">
                <xm:f>110</xm:f>
              </x14:cfvo>
              <x14:cfvo type="num" gte="0">
                <xm:f>120</xm:f>
              </x14:cfvo>
              <x14:cfIcon iconSet="3TrafficLights1" iconId="0"/>
              <x14:cfIcon iconSet="3TrafficLights1" iconId="1"/>
              <x14:cfIcon iconSet="3Symbols2" iconId="2"/>
              <x14:cfIcon iconSet="3TrafficLights1" iconId="1"/>
              <x14:cfIcon iconSet="3TrafficLights1" iconId="0"/>
            </x14:iconSet>
          </x14:cfRule>
          <xm:sqref>F26:F28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F634-758D-456B-AB33-92652A8BB113}">
  <dimension ref="A1:G35"/>
  <sheetViews>
    <sheetView topLeftCell="A15" workbookViewId="0">
      <selection activeCell="D29" sqref="D29"/>
    </sheetView>
  </sheetViews>
  <sheetFormatPr defaultRowHeight="14.4" x14ac:dyDescent="0.3"/>
  <cols>
    <col min="1" max="1" width="24.109375" bestFit="1" customWidth="1"/>
    <col min="2" max="2" width="64.5546875" customWidth="1"/>
    <col min="3" max="6" width="15.6640625" customWidth="1"/>
    <col min="7" max="7" width="12.6640625" customWidth="1"/>
  </cols>
  <sheetData>
    <row r="1" spans="1:7" ht="21" x14ac:dyDescent="0.4">
      <c r="A1" s="41" t="s">
        <v>26</v>
      </c>
      <c r="B1" s="42"/>
      <c r="C1" s="42"/>
      <c r="D1" s="42"/>
      <c r="E1" s="42"/>
      <c r="F1" s="42"/>
      <c r="G1" s="43"/>
    </row>
    <row r="2" spans="1:7" ht="30" customHeight="1" x14ac:dyDescent="0.3">
      <c r="A2" s="38" t="s">
        <v>0</v>
      </c>
      <c r="B2" s="39"/>
      <c r="C2" s="39"/>
      <c r="D2" s="39"/>
      <c r="E2" s="39"/>
      <c r="F2" s="39"/>
      <c r="G2" s="40"/>
    </row>
    <row r="3" spans="1:7" ht="108.75" customHeight="1" x14ac:dyDescent="0.3">
      <c r="A3" s="35" t="s">
        <v>27</v>
      </c>
      <c r="B3" s="36"/>
      <c r="C3" s="36"/>
      <c r="D3" s="36"/>
      <c r="E3" s="36"/>
      <c r="F3" s="36"/>
      <c r="G3" s="37"/>
    </row>
    <row r="4" spans="1:7" ht="30" customHeight="1" x14ac:dyDescent="0.3">
      <c r="A4" s="13" t="s">
        <v>29</v>
      </c>
      <c r="B4" s="9"/>
      <c r="C4" s="14"/>
      <c r="D4" s="15"/>
      <c r="E4" s="15"/>
      <c r="F4" s="15"/>
      <c r="G4" s="16"/>
    </row>
    <row r="5" spans="1:7" x14ac:dyDescent="0.3">
      <c r="A5" s="17"/>
      <c r="B5" s="15"/>
      <c r="C5" s="15"/>
      <c r="D5" s="15"/>
      <c r="E5" s="15"/>
      <c r="F5" s="15"/>
      <c r="G5" s="16"/>
    </row>
    <row r="6" spans="1:7" ht="28.8" x14ac:dyDescent="0.3">
      <c r="A6" s="18" t="s">
        <v>16</v>
      </c>
      <c r="B6" s="10" t="s">
        <v>33</v>
      </c>
      <c r="C6" s="15"/>
      <c r="D6" s="44" t="s">
        <v>11</v>
      </c>
      <c r="E6" s="44"/>
      <c r="F6" s="44"/>
      <c r="G6" s="45"/>
    </row>
    <row r="7" spans="1:7" ht="28.8" x14ac:dyDescent="0.3">
      <c r="A7" s="18" t="s">
        <v>17</v>
      </c>
      <c r="B7" s="11">
        <v>28430093</v>
      </c>
      <c r="C7" s="15"/>
      <c r="D7" s="44" t="s">
        <v>12</v>
      </c>
      <c r="E7" s="44"/>
      <c r="F7" s="44"/>
      <c r="G7" s="45"/>
    </row>
    <row r="8" spans="1:7" x14ac:dyDescent="0.3">
      <c r="A8" s="17"/>
      <c r="B8" s="15"/>
      <c r="C8" s="15"/>
      <c r="D8" s="15"/>
      <c r="E8" s="15"/>
      <c r="F8" s="15"/>
      <c r="G8" s="16"/>
    </row>
    <row r="9" spans="1:7" x14ac:dyDescent="0.3">
      <c r="A9" s="17"/>
      <c r="B9" s="33" t="s">
        <v>28</v>
      </c>
      <c r="C9" s="33"/>
      <c r="D9" s="33"/>
      <c r="E9" s="33"/>
      <c r="F9" s="33"/>
      <c r="G9" s="34"/>
    </row>
    <row r="10" spans="1:7" x14ac:dyDescent="0.3">
      <c r="A10" s="17"/>
      <c r="B10" s="33" t="s">
        <v>13</v>
      </c>
      <c r="C10" s="33"/>
      <c r="D10" s="33"/>
      <c r="E10" s="33"/>
      <c r="F10" s="33"/>
      <c r="G10" s="34"/>
    </row>
    <row r="11" spans="1:7" ht="28.8" x14ac:dyDescent="0.3">
      <c r="A11" s="19" t="s">
        <v>5</v>
      </c>
      <c r="B11" s="1" t="s">
        <v>1</v>
      </c>
      <c r="C11" s="2" t="s">
        <v>9</v>
      </c>
      <c r="D11" s="15"/>
      <c r="E11" s="15"/>
      <c r="F11" s="15"/>
      <c r="G11" s="16"/>
    </row>
    <row r="12" spans="1:7" x14ac:dyDescent="0.3">
      <c r="A12" s="19">
        <v>1</v>
      </c>
      <c r="B12" s="30" t="s">
        <v>34</v>
      </c>
      <c r="C12" s="10">
        <v>2</v>
      </c>
      <c r="D12" s="15"/>
      <c r="E12" s="15"/>
      <c r="F12" s="15"/>
      <c r="G12" s="16"/>
    </row>
    <row r="13" spans="1:7" x14ac:dyDescent="0.3">
      <c r="A13" s="19">
        <v>2</v>
      </c>
      <c r="B13" s="30" t="s">
        <v>35</v>
      </c>
      <c r="C13" s="10">
        <v>10</v>
      </c>
      <c r="D13" s="15"/>
      <c r="E13" s="15"/>
      <c r="F13" s="15"/>
      <c r="G13" s="16"/>
    </row>
    <row r="14" spans="1:7" x14ac:dyDescent="0.3">
      <c r="A14" s="19">
        <v>3</v>
      </c>
      <c r="B14" s="30" t="s">
        <v>38</v>
      </c>
      <c r="C14" s="10">
        <v>20</v>
      </c>
      <c r="D14" s="15"/>
      <c r="E14" s="15"/>
      <c r="F14" s="15"/>
      <c r="G14" s="16"/>
    </row>
    <row r="15" spans="1:7" x14ac:dyDescent="0.3">
      <c r="A15" s="19">
        <v>4</v>
      </c>
      <c r="B15" s="30" t="s">
        <v>37</v>
      </c>
      <c r="C15" s="10">
        <v>1</v>
      </c>
      <c r="D15" s="15"/>
      <c r="E15" s="15"/>
      <c r="F15" s="15"/>
      <c r="G15" s="16"/>
    </row>
    <row r="16" spans="1:7" x14ac:dyDescent="0.3">
      <c r="A16" s="19">
        <v>5</v>
      </c>
      <c r="B16" s="30"/>
      <c r="C16" s="10"/>
      <c r="D16" s="15"/>
      <c r="E16" s="15"/>
      <c r="F16" s="15"/>
      <c r="G16" s="16"/>
    </row>
    <row r="17" spans="1:7" x14ac:dyDescent="0.3">
      <c r="A17" s="17"/>
      <c r="B17" s="15"/>
      <c r="C17" s="15"/>
      <c r="D17" s="15"/>
      <c r="E17" s="15"/>
      <c r="F17" s="15"/>
      <c r="G17" s="16"/>
    </row>
    <row r="18" spans="1:7" x14ac:dyDescent="0.3">
      <c r="A18" s="17"/>
      <c r="B18" s="20" t="s">
        <v>2</v>
      </c>
      <c r="C18" s="4">
        <f>SUM(C12:C16)</f>
        <v>33</v>
      </c>
      <c r="D18" s="15"/>
      <c r="E18" s="15"/>
      <c r="F18" s="15"/>
      <c r="G18" s="16"/>
    </row>
    <row r="19" spans="1:7" x14ac:dyDescent="0.3">
      <c r="A19" s="17"/>
      <c r="B19" s="15"/>
      <c r="C19" s="15"/>
      <c r="D19" s="15"/>
      <c r="E19" s="15"/>
      <c r="F19" s="15"/>
      <c r="G19" s="16"/>
    </row>
    <row r="20" spans="1:7" ht="30" customHeight="1" x14ac:dyDescent="0.3">
      <c r="A20" s="38" t="s">
        <v>3</v>
      </c>
      <c r="B20" s="39"/>
      <c r="C20" s="39"/>
      <c r="D20" s="39"/>
      <c r="E20" s="39"/>
      <c r="F20" s="39"/>
      <c r="G20" s="40"/>
    </row>
    <row r="21" spans="1:7" s="32" customFormat="1" ht="15.6" x14ac:dyDescent="0.3">
      <c r="A21" s="31"/>
      <c r="B21" s="46" t="s">
        <v>14</v>
      </c>
      <c r="C21" s="46"/>
      <c r="D21" s="46"/>
      <c r="E21" s="46"/>
      <c r="F21" s="46"/>
      <c r="G21" s="47"/>
    </row>
    <row r="22" spans="1:7" s="32" customFormat="1" ht="30" customHeight="1" x14ac:dyDescent="0.3">
      <c r="A22" s="31"/>
      <c r="B22" s="46" t="s">
        <v>20</v>
      </c>
      <c r="C22" s="46"/>
      <c r="D22" s="46"/>
      <c r="E22" s="46"/>
      <c r="F22" s="46"/>
      <c r="G22" s="47"/>
    </row>
    <row r="23" spans="1:7" s="32" customFormat="1" ht="30" customHeight="1" x14ac:dyDescent="0.3">
      <c r="A23" s="31"/>
      <c r="B23" s="46" t="s">
        <v>25</v>
      </c>
      <c r="C23" s="46"/>
      <c r="D23" s="46"/>
      <c r="E23" s="46"/>
      <c r="F23" s="46"/>
      <c r="G23" s="47"/>
    </row>
    <row r="24" spans="1:7" s="32" customFormat="1" ht="15.6" x14ac:dyDescent="0.3">
      <c r="A24" s="31"/>
      <c r="B24" s="46" t="s">
        <v>15</v>
      </c>
      <c r="C24" s="46"/>
      <c r="D24" s="46"/>
      <c r="E24" s="46"/>
      <c r="F24" s="46"/>
      <c r="G24" s="47"/>
    </row>
    <row r="25" spans="1:7" ht="28.8" x14ac:dyDescent="0.3">
      <c r="A25" s="21" t="s">
        <v>18</v>
      </c>
      <c r="B25" s="1" t="s">
        <v>4</v>
      </c>
      <c r="C25" s="2" t="s">
        <v>10</v>
      </c>
      <c r="D25" s="2" t="s">
        <v>19</v>
      </c>
      <c r="E25" s="2" t="s">
        <v>22</v>
      </c>
      <c r="F25" s="2" t="s">
        <v>31</v>
      </c>
      <c r="G25" s="22" t="s">
        <v>32</v>
      </c>
    </row>
    <row r="26" spans="1:7" ht="23.4" x14ac:dyDescent="0.45">
      <c r="A26" s="23" t="s">
        <v>6</v>
      </c>
      <c r="B26" s="3">
        <f>B7</f>
        <v>28430093</v>
      </c>
      <c r="C26" s="4">
        <f>C18</f>
        <v>33</v>
      </c>
      <c r="D26" s="10">
        <v>100</v>
      </c>
      <c r="E26" s="6">
        <f>IF(D26&gt;0,D26/SUM($D$26:$D$28)*100*$C$30,"")</f>
        <v>111.11111111111111</v>
      </c>
      <c r="F26" s="6">
        <f>IF(D26&gt;0,IF(E26&gt;120,120,E26),"")</f>
        <v>111.11111111111111</v>
      </c>
      <c r="G26" s="24">
        <f>F26/100*$C$34</f>
        <v>88.888888888888886</v>
      </c>
    </row>
    <row r="27" spans="1:7" ht="23.4" x14ac:dyDescent="0.45">
      <c r="A27" s="25" t="s">
        <v>7</v>
      </c>
      <c r="B27" s="12">
        <v>24124753</v>
      </c>
      <c r="C27" s="10">
        <v>50</v>
      </c>
      <c r="D27" s="10">
        <v>100</v>
      </c>
      <c r="E27" s="6">
        <f>IF(D27&gt;0,D27/SUM($D$26:$D$28)*100*$C$30,"")</f>
        <v>111.11111111111111</v>
      </c>
      <c r="F27" s="6">
        <f t="shared" ref="F27:F28" si="0">IF(D27&gt;0,IF(E27&gt;120,120,E27),"")</f>
        <v>111.11111111111111</v>
      </c>
      <c r="G27" s="24">
        <f>F27/100*$C$34</f>
        <v>88.888888888888886</v>
      </c>
    </row>
    <row r="28" spans="1:7" ht="23.4" x14ac:dyDescent="0.45">
      <c r="A28" s="25" t="s">
        <v>8</v>
      </c>
      <c r="B28" s="12">
        <v>28667735</v>
      </c>
      <c r="C28" s="10">
        <v>20</v>
      </c>
      <c r="D28" s="10">
        <v>70</v>
      </c>
      <c r="E28" s="6">
        <f>IF(D28&gt;0,D28/SUM($D$26:$D$28)*100*$C$30,"")</f>
        <v>77.777777777777771</v>
      </c>
      <c r="F28" s="6">
        <f t="shared" si="0"/>
        <v>77.777777777777771</v>
      </c>
      <c r="G28" s="24">
        <f>F28/100*$C$34</f>
        <v>62.222222222222214</v>
      </c>
    </row>
    <row r="29" spans="1:7" x14ac:dyDescent="0.3">
      <c r="A29" s="17"/>
      <c r="B29" s="15"/>
      <c r="C29" s="15"/>
      <c r="D29" s="15"/>
      <c r="E29" s="15"/>
      <c r="F29" s="15"/>
      <c r="G29" s="16"/>
    </row>
    <row r="30" spans="1:7" x14ac:dyDescent="0.3">
      <c r="A30" s="17"/>
      <c r="B30" s="20" t="s">
        <v>23</v>
      </c>
      <c r="C30" s="4">
        <f>COUNT(B26:B28)</f>
        <v>3</v>
      </c>
      <c r="D30" s="15"/>
      <c r="E30" s="15"/>
      <c r="F30" s="15"/>
      <c r="G30" s="16"/>
    </row>
    <row r="31" spans="1:7" x14ac:dyDescent="0.3">
      <c r="A31" s="17"/>
      <c r="B31" s="20" t="s">
        <v>21</v>
      </c>
      <c r="C31" s="4">
        <f>SUM(C26:C28)</f>
        <v>103</v>
      </c>
      <c r="D31" s="26"/>
      <c r="E31" s="15"/>
      <c r="F31" s="15"/>
      <c r="G31" s="16"/>
    </row>
    <row r="32" spans="1:7" ht="23.4" x14ac:dyDescent="0.45">
      <c r="A32" s="17"/>
      <c r="B32" s="20" t="s">
        <v>24</v>
      </c>
      <c r="C32" s="5">
        <f>_xlfn.STDEV.P(E26:E28)</f>
        <v>15.713484026367711</v>
      </c>
      <c r="D32" s="15"/>
      <c r="E32" s="15"/>
      <c r="F32" s="15"/>
      <c r="G32" s="16"/>
    </row>
    <row r="33" spans="1:7" x14ac:dyDescent="0.3">
      <c r="A33" s="17"/>
      <c r="B33" s="15"/>
      <c r="C33" s="15"/>
      <c r="D33" s="15"/>
      <c r="E33" s="15"/>
      <c r="F33" s="15"/>
      <c r="G33" s="16"/>
    </row>
    <row r="34" spans="1:7" ht="23.4" x14ac:dyDescent="0.45">
      <c r="A34" s="17"/>
      <c r="B34" s="7" t="s">
        <v>30</v>
      </c>
      <c r="C34" s="8">
        <v>80</v>
      </c>
      <c r="D34" s="15"/>
      <c r="E34" s="15"/>
      <c r="F34" s="15"/>
      <c r="G34" s="16"/>
    </row>
    <row r="35" spans="1:7" ht="15" thickBot="1" x14ac:dyDescent="0.35">
      <c r="A35" s="27"/>
      <c r="B35" s="28"/>
      <c r="C35" s="28"/>
      <c r="D35" s="28"/>
      <c r="E35" s="28"/>
      <c r="F35" s="28"/>
      <c r="G35" s="29"/>
    </row>
  </sheetData>
  <mergeCells count="12">
    <mergeCell ref="B10:G10"/>
    <mergeCell ref="A20:G20"/>
    <mergeCell ref="B21:G21"/>
    <mergeCell ref="B22:G22"/>
    <mergeCell ref="B23:G23"/>
    <mergeCell ref="B24:G24"/>
    <mergeCell ref="A1:G1"/>
    <mergeCell ref="A2:G2"/>
    <mergeCell ref="A3:G3"/>
    <mergeCell ref="D6:G6"/>
    <mergeCell ref="D7:G7"/>
    <mergeCell ref="B9:G9"/>
  </mergeCell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84A23716-57CF-4018-83CE-96F8539FE070}">
            <x14:iconSet iconSet="3Symbols2" custom="1">
              <x14:cfvo type="percent">
                <xm:f>0</xm:f>
              </x14:cfvo>
              <x14:cfvo type="num">
                <xm:f>15</xm:f>
              </x14:cfvo>
              <x14:cfvo type="num">
                <xm:f>20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C32</xm:sqref>
        </x14:conditionalFormatting>
        <x14:conditionalFormatting xmlns:xm="http://schemas.microsoft.com/office/excel/2006/main">
          <x14:cfRule type="iconSet" priority="2" id="{C432F8D3-DA30-48FC-B844-A779A1B17E9E}">
            <x14:iconSet iconSet="5Arrows" custom="1">
              <x14:cfvo type="percent">
                <xm:f>0</xm:f>
              </x14:cfvo>
              <x14:cfvo type="num">
                <xm:f>40</xm:f>
              </x14:cfvo>
              <x14:cfvo type="num">
                <xm:f>80</xm:f>
              </x14:cfvo>
              <x14:cfvo type="num">
                <xm:f>110</xm:f>
              </x14:cfvo>
              <x14:cfvo type="num" gte="0">
                <xm:f>120</xm:f>
              </x14:cfvo>
              <x14:cfIcon iconSet="3TrafficLights1" iconId="0"/>
              <x14:cfIcon iconSet="3TrafficLights1" iconId="1"/>
              <x14:cfIcon iconSet="3Symbols2" iconId="2"/>
              <x14:cfIcon iconSet="3TrafficLights1" iconId="1"/>
              <x14:cfIcon iconSet="3TrafficLights1" iconId="0"/>
            </x14:iconSet>
          </x14:cfRule>
          <xm:sqref>E26:E28</xm:sqref>
        </x14:conditionalFormatting>
        <x14:conditionalFormatting xmlns:xm="http://schemas.microsoft.com/office/excel/2006/main">
          <x14:cfRule type="iconSet" priority="3" id="{73832FD1-896B-48FE-84E8-635809654C25}">
            <x14:iconSet iconSet="5Arrows" custom="1">
              <x14:cfvo type="percent">
                <xm:f>0</xm:f>
              </x14:cfvo>
              <x14:cfvo type="num">
                <xm:f>40</xm:f>
              </x14:cfvo>
              <x14:cfvo type="num">
                <xm:f>80</xm:f>
              </x14:cfvo>
              <x14:cfvo type="num">
                <xm:f>110</xm:f>
              </x14:cfvo>
              <x14:cfvo type="num" gte="0">
                <xm:f>120</xm:f>
              </x14:cfvo>
              <x14:cfIcon iconSet="3TrafficLights1" iconId="0"/>
              <x14:cfIcon iconSet="3TrafficLights1" iconId="1"/>
              <x14:cfIcon iconSet="3Symbols2" iconId="2"/>
              <x14:cfIcon iconSet="3TrafficLights1" iconId="1"/>
              <x14:cfIcon iconSet="3TrafficLights1" iconId="0"/>
            </x14:iconSet>
          </x14:cfRule>
          <xm:sqref>F26:F28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F083F-4EF8-4DA8-A2E6-1EBD30A856FB}">
  <dimension ref="A1:G35"/>
  <sheetViews>
    <sheetView topLeftCell="A14" workbookViewId="0">
      <selection activeCell="D29" sqref="D29"/>
    </sheetView>
  </sheetViews>
  <sheetFormatPr defaultRowHeight="14.4" x14ac:dyDescent="0.3"/>
  <cols>
    <col min="1" max="1" width="24.109375" bestFit="1" customWidth="1"/>
    <col min="2" max="2" width="64.5546875" customWidth="1"/>
    <col min="3" max="6" width="15.6640625" customWidth="1"/>
    <col min="7" max="7" width="12.6640625" customWidth="1"/>
  </cols>
  <sheetData>
    <row r="1" spans="1:7" ht="21" x14ac:dyDescent="0.4">
      <c r="A1" s="41" t="s">
        <v>26</v>
      </c>
      <c r="B1" s="42"/>
      <c r="C1" s="42"/>
      <c r="D1" s="42"/>
      <c r="E1" s="42"/>
      <c r="F1" s="42"/>
      <c r="G1" s="43"/>
    </row>
    <row r="2" spans="1:7" ht="30" customHeight="1" x14ac:dyDescent="0.3">
      <c r="A2" s="38" t="s">
        <v>0</v>
      </c>
      <c r="B2" s="39"/>
      <c r="C2" s="39"/>
      <c r="D2" s="39"/>
      <c r="E2" s="39"/>
      <c r="F2" s="39"/>
      <c r="G2" s="40"/>
    </row>
    <row r="3" spans="1:7" ht="108.75" customHeight="1" x14ac:dyDescent="0.3">
      <c r="A3" s="35" t="s">
        <v>27</v>
      </c>
      <c r="B3" s="36"/>
      <c r="C3" s="36"/>
      <c r="D3" s="36"/>
      <c r="E3" s="36"/>
      <c r="F3" s="36"/>
      <c r="G3" s="37"/>
    </row>
    <row r="4" spans="1:7" ht="30" customHeight="1" x14ac:dyDescent="0.3">
      <c r="A4" s="13" t="s">
        <v>29</v>
      </c>
      <c r="B4" s="9"/>
      <c r="C4" s="14"/>
      <c r="D4" s="15"/>
      <c r="E4" s="15"/>
      <c r="F4" s="15"/>
      <c r="G4" s="16"/>
    </row>
    <row r="5" spans="1:7" x14ac:dyDescent="0.3">
      <c r="A5" s="17"/>
      <c r="B5" s="15"/>
      <c r="C5" s="15"/>
      <c r="D5" s="15"/>
      <c r="E5" s="15"/>
      <c r="F5" s="15"/>
      <c r="G5" s="16"/>
    </row>
    <row r="6" spans="1:7" ht="28.8" x14ac:dyDescent="0.3">
      <c r="A6" s="18" t="s">
        <v>16</v>
      </c>
      <c r="B6" s="10" t="s">
        <v>33</v>
      </c>
      <c r="C6" s="15"/>
      <c r="D6" s="44" t="s">
        <v>11</v>
      </c>
      <c r="E6" s="44"/>
      <c r="F6" s="44"/>
      <c r="G6" s="45"/>
    </row>
    <row r="7" spans="1:7" ht="28.8" x14ac:dyDescent="0.3">
      <c r="A7" s="18" t="s">
        <v>17</v>
      </c>
      <c r="B7" s="11">
        <v>28430093</v>
      </c>
      <c r="C7" s="15"/>
      <c r="D7" s="44" t="s">
        <v>12</v>
      </c>
      <c r="E7" s="44"/>
      <c r="F7" s="44"/>
      <c r="G7" s="45"/>
    </row>
    <row r="8" spans="1:7" x14ac:dyDescent="0.3">
      <c r="A8" s="17"/>
      <c r="B8" s="15"/>
      <c r="C8" s="15"/>
      <c r="D8" s="15"/>
      <c r="E8" s="15"/>
      <c r="F8" s="15"/>
      <c r="G8" s="16"/>
    </row>
    <row r="9" spans="1:7" x14ac:dyDescent="0.3">
      <c r="A9" s="17"/>
      <c r="B9" s="33" t="s">
        <v>28</v>
      </c>
      <c r="C9" s="33"/>
      <c r="D9" s="33"/>
      <c r="E9" s="33"/>
      <c r="F9" s="33"/>
      <c r="G9" s="34"/>
    </row>
    <row r="10" spans="1:7" x14ac:dyDescent="0.3">
      <c r="A10" s="17"/>
      <c r="B10" s="33" t="s">
        <v>13</v>
      </c>
      <c r="C10" s="33"/>
      <c r="D10" s="33"/>
      <c r="E10" s="33"/>
      <c r="F10" s="33"/>
      <c r="G10" s="34"/>
    </row>
    <row r="11" spans="1:7" ht="28.8" x14ac:dyDescent="0.3">
      <c r="A11" s="19" t="s">
        <v>5</v>
      </c>
      <c r="B11" s="1" t="s">
        <v>1</v>
      </c>
      <c r="C11" s="2" t="s">
        <v>9</v>
      </c>
      <c r="D11" s="15"/>
      <c r="E11" s="15"/>
      <c r="F11" s="15"/>
      <c r="G11" s="16"/>
    </row>
    <row r="12" spans="1:7" x14ac:dyDescent="0.3">
      <c r="A12" s="19">
        <v>1</v>
      </c>
      <c r="B12" s="30" t="s">
        <v>34</v>
      </c>
      <c r="C12" s="10">
        <v>5</v>
      </c>
      <c r="D12" s="15"/>
      <c r="E12" s="15"/>
      <c r="F12" s="15"/>
      <c r="G12" s="16"/>
    </row>
    <row r="13" spans="1:7" x14ac:dyDescent="0.3">
      <c r="A13" s="19">
        <v>2</v>
      </c>
      <c r="B13" s="30" t="s">
        <v>35</v>
      </c>
      <c r="C13" s="10">
        <v>30</v>
      </c>
      <c r="D13" s="15"/>
      <c r="E13" s="15"/>
      <c r="F13" s="15"/>
      <c r="G13" s="16"/>
    </row>
    <row r="14" spans="1:7" x14ac:dyDescent="0.3">
      <c r="A14" s="19">
        <v>3</v>
      </c>
      <c r="B14" s="30" t="s">
        <v>39</v>
      </c>
      <c r="C14" s="10">
        <v>20</v>
      </c>
      <c r="D14" s="15"/>
      <c r="E14" s="15"/>
      <c r="F14" s="15"/>
      <c r="G14" s="16"/>
    </row>
    <row r="15" spans="1:7" x14ac:dyDescent="0.3">
      <c r="A15" s="19">
        <v>4</v>
      </c>
      <c r="B15" s="30" t="s">
        <v>37</v>
      </c>
      <c r="C15" s="10">
        <v>2</v>
      </c>
      <c r="D15" s="15"/>
      <c r="E15" s="15"/>
      <c r="F15" s="15"/>
      <c r="G15" s="16"/>
    </row>
    <row r="16" spans="1:7" x14ac:dyDescent="0.3">
      <c r="A16" s="19">
        <v>5</v>
      </c>
      <c r="B16" s="30"/>
      <c r="C16" s="10"/>
      <c r="D16" s="15"/>
      <c r="E16" s="15"/>
      <c r="F16" s="15"/>
      <c r="G16" s="16"/>
    </row>
    <row r="17" spans="1:7" x14ac:dyDescent="0.3">
      <c r="A17" s="17"/>
      <c r="B17" s="15"/>
      <c r="C17" s="15"/>
      <c r="D17" s="15"/>
      <c r="E17" s="15"/>
      <c r="F17" s="15"/>
      <c r="G17" s="16"/>
    </row>
    <row r="18" spans="1:7" x14ac:dyDescent="0.3">
      <c r="A18" s="17"/>
      <c r="B18" s="20" t="s">
        <v>2</v>
      </c>
      <c r="C18" s="4">
        <f>SUM(C12:C16)</f>
        <v>57</v>
      </c>
      <c r="D18" s="15"/>
      <c r="E18" s="15"/>
      <c r="F18" s="15"/>
      <c r="G18" s="16"/>
    </row>
    <row r="19" spans="1:7" x14ac:dyDescent="0.3">
      <c r="A19" s="17"/>
      <c r="B19" s="15"/>
      <c r="C19" s="15"/>
      <c r="D19" s="15"/>
      <c r="E19" s="15"/>
      <c r="F19" s="15"/>
      <c r="G19" s="16"/>
    </row>
    <row r="20" spans="1:7" ht="30" customHeight="1" x14ac:dyDescent="0.3">
      <c r="A20" s="38" t="s">
        <v>3</v>
      </c>
      <c r="B20" s="39"/>
      <c r="C20" s="39"/>
      <c r="D20" s="39"/>
      <c r="E20" s="39"/>
      <c r="F20" s="39"/>
      <c r="G20" s="40"/>
    </row>
    <row r="21" spans="1:7" s="32" customFormat="1" ht="15.6" x14ac:dyDescent="0.3">
      <c r="A21" s="31"/>
      <c r="B21" s="46" t="s">
        <v>14</v>
      </c>
      <c r="C21" s="46"/>
      <c r="D21" s="46"/>
      <c r="E21" s="46"/>
      <c r="F21" s="46"/>
      <c r="G21" s="47"/>
    </row>
    <row r="22" spans="1:7" s="32" customFormat="1" ht="30" customHeight="1" x14ac:dyDescent="0.3">
      <c r="A22" s="31"/>
      <c r="B22" s="46" t="s">
        <v>20</v>
      </c>
      <c r="C22" s="46"/>
      <c r="D22" s="46"/>
      <c r="E22" s="46"/>
      <c r="F22" s="46"/>
      <c r="G22" s="47"/>
    </row>
    <row r="23" spans="1:7" s="32" customFormat="1" ht="30" customHeight="1" x14ac:dyDescent="0.3">
      <c r="A23" s="31"/>
      <c r="B23" s="46" t="s">
        <v>25</v>
      </c>
      <c r="C23" s="46"/>
      <c r="D23" s="46"/>
      <c r="E23" s="46"/>
      <c r="F23" s="46"/>
      <c r="G23" s="47"/>
    </row>
    <row r="24" spans="1:7" s="32" customFormat="1" ht="15.6" x14ac:dyDescent="0.3">
      <c r="A24" s="31"/>
      <c r="B24" s="46" t="s">
        <v>15</v>
      </c>
      <c r="C24" s="46"/>
      <c r="D24" s="46"/>
      <c r="E24" s="46"/>
      <c r="F24" s="46"/>
      <c r="G24" s="47"/>
    </row>
    <row r="25" spans="1:7" ht="28.8" x14ac:dyDescent="0.3">
      <c r="A25" s="21" t="s">
        <v>18</v>
      </c>
      <c r="B25" s="1" t="s">
        <v>4</v>
      </c>
      <c r="C25" s="2" t="s">
        <v>10</v>
      </c>
      <c r="D25" s="2" t="s">
        <v>19</v>
      </c>
      <c r="E25" s="2" t="s">
        <v>22</v>
      </c>
      <c r="F25" s="2" t="s">
        <v>31</v>
      </c>
      <c r="G25" s="22" t="s">
        <v>32</v>
      </c>
    </row>
    <row r="26" spans="1:7" ht="23.4" x14ac:dyDescent="0.45">
      <c r="A26" s="23" t="s">
        <v>6</v>
      </c>
      <c r="B26" s="3">
        <f>B7</f>
        <v>28430093</v>
      </c>
      <c r="C26" s="4">
        <f>C18</f>
        <v>57</v>
      </c>
      <c r="D26" s="10">
        <v>100</v>
      </c>
      <c r="E26" s="6">
        <f>IF(D26&gt;0,D26/SUM($D$26:$D$28)*100*$C$30,"")</f>
        <v>99.999999999999986</v>
      </c>
      <c r="F26" s="6">
        <f>IF(D26&gt;0,IF(E26&gt;120,120,E26),"")</f>
        <v>99.999999999999986</v>
      </c>
      <c r="G26" s="24">
        <f>F26/100*$C$34</f>
        <v>79.999999999999986</v>
      </c>
    </row>
    <row r="27" spans="1:7" ht="23.4" x14ac:dyDescent="0.45">
      <c r="A27" s="25" t="s">
        <v>7</v>
      </c>
      <c r="B27" s="12">
        <v>24124753</v>
      </c>
      <c r="C27" s="10">
        <v>50</v>
      </c>
      <c r="D27" s="10">
        <v>100</v>
      </c>
      <c r="E27" s="6">
        <f>IF(D27&gt;0,D27/SUM($D$26:$D$28)*100*$C$30,"")</f>
        <v>99.999999999999986</v>
      </c>
      <c r="F27" s="6">
        <f t="shared" ref="F27:F28" si="0">IF(D27&gt;0,IF(E27&gt;120,120,E27),"")</f>
        <v>99.999999999999986</v>
      </c>
      <c r="G27" s="24">
        <f>F27/100*$C$34</f>
        <v>79.999999999999986</v>
      </c>
    </row>
    <row r="28" spans="1:7" ht="23.4" x14ac:dyDescent="0.45">
      <c r="A28" s="25" t="s">
        <v>8</v>
      </c>
      <c r="B28" s="12">
        <v>28667735</v>
      </c>
      <c r="C28" s="10">
        <v>20</v>
      </c>
      <c r="D28" s="10">
        <v>100</v>
      </c>
      <c r="E28" s="6">
        <f>IF(D28&gt;0,D28/SUM($D$26:$D$28)*100*$C$30,"")</f>
        <v>99.999999999999986</v>
      </c>
      <c r="F28" s="6">
        <f t="shared" si="0"/>
        <v>99.999999999999986</v>
      </c>
      <c r="G28" s="24">
        <f>F28/100*$C$34</f>
        <v>79.999999999999986</v>
      </c>
    </row>
    <row r="29" spans="1:7" x14ac:dyDescent="0.3">
      <c r="A29" s="17"/>
      <c r="B29" s="15"/>
      <c r="C29" s="15"/>
      <c r="D29" s="15"/>
      <c r="E29" s="15"/>
      <c r="F29" s="15"/>
      <c r="G29" s="16"/>
    </row>
    <row r="30" spans="1:7" x14ac:dyDescent="0.3">
      <c r="A30" s="17"/>
      <c r="B30" s="20" t="s">
        <v>23</v>
      </c>
      <c r="C30" s="4">
        <f>COUNT(B26:B28)</f>
        <v>3</v>
      </c>
      <c r="D30" s="15"/>
      <c r="E30" s="15"/>
      <c r="F30" s="15"/>
      <c r="G30" s="16"/>
    </row>
    <row r="31" spans="1:7" x14ac:dyDescent="0.3">
      <c r="A31" s="17"/>
      <c r="B31" s="20" t="s">
        <v>21</v>
      </c>
      <c r="C31" s="4">
        <f>SUM(C26:C28)</f>
        <v>127</v>
      </c>
      <c r="D31" s="26"/>
      <c r="E31" s="15"/>
      <c r="F31" s="15"/>
      <c r="G31" s="16"/>
    </row>
    <row r="32" spans="1:7" ht="23.4" x14ac:dyDescent="0.45">
      <c r="A32" s="17"/>
      <c r="B32" s="20" t="s">
        <v>24</v>
      </c>
      <c r="C32" s="5">
        <f>_xlfn.STDEV.P(E26:E28)</f>
        <v>0</v>
      </c>
      <c r="D32" s="15"/>
      <c r="E32" s="15"/>
      <c r="F32" s="15"/>
      <c r="G32" s="16"/>
    </row>
    <row r="33" spans="1:7" x14ac:dyDescent="0.3">
      <c r="A33" s="17"/>
      <c r="B33" s="15"/>
      <c r="C33" s="15"/>
      <c r="D33" s="15"/>
      <c r="E33" s="15"/>
      <c r="F33" s="15"/>
      <c r="G33" s="16"/>
    </row>
    <row r="34" spans="1:7" ht="23.4" x14ac:dyDescent="0.45">
      <c r="A34" s="17"/>
      <c r="B34" s="7" t="s">
        <v>30</v>
      </c>
      <c r="C34" s="8">
        <v>80</v>
      </c>
      <c r="D34" s="15"/>
      <c r="E34" s="15"/>
      <c r="F34" s="15"/>
      <c r="G34" s="16"/>
    </row>
    <row r="35" spans="1:7" ht="15" thickBot="1" x14ac:dyDescent="0.35">
      <c r="A35" s="27"/>
      <c r="B35" s="28"/>
      <c r="C35" s="28"/>
      <c r="D35" s="28"/>
      <c r="E35" s="28"/>
      <c r="F35" s="28"/>
      <c r="G35" s="29"/>
    </row>
  </sheetData>
  <mergeCells count="12">
    <mergeCell ref="B10:G10"/>
    <mergeCell ref="A20:G20"/>
    <mergeCell ref="B21:G21"/>
    <mergeCell ref="B22:G22"/>
    <mergeCell ref="B23:G23"/>
    <mergeCell ref="B24:G24"/>
    <mergeCell ref="A1:G1"/>
    <mergeCell ref="A2:G2"/>
    <mergeCell ref="A3:G3"/>
    <mergeCell ref="D6:G6"/>
    <mergeCell ref="D7:G7"/>
    <mergeCell ref="B9:G9"/>
  </mergeCell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95ADCB8-720E-49B5-A779-E3485F1E530E}">
            <x14:iconSet iconSet="3Symbols2" custom="1">
              <x14:cfvo type="percent">
                <xm:f>0</xm:f>
              </x14:cfvo>
              <x14:cfvo type="num">
                <xm:f>15</xm:f>
              </x14:cfvo>
              <x14:cfvo type="num">
                <xm:f>20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C32</xm:sqref>
        </x14:conditionalFormatting>
        <x14:conditionalFormatting xmlns:xm="http://schemas.microsoft.com/office/excel/2006/main">
          <x14:cfRule type="iconSet" priority="2" id="{6DAE4AE7-AF40-497C-8414-163B2AE69749}">
            <x14:iconSet iconSet="5Arrows" custom="1">
              <x14:cfvo type="percent">
                <xm:f>0</xm:f>
              </x14:cfvo>
              <x14:cfvo type="num">
                <xm:f>40</xm:f>
              </x14:cfvo>
              <x14:cfvo type="num">
                <xm:f>80</xm:f>
              </x14:cfvo>
              <x14:cfvo type="num">
                <xm:f>110</xm:f>
              </x14:cfvo>
              <x14:cfvo type="num" gte="0">
                <xm:f>120</xm:f>
              </x14:cfvo>
              <x14:cfIcon iconSet="3TrafficLights1" iconId="0"/>
              <x14:cfIcon iconSet="3TrafficLights1" iconId="1"/>
              <x14:cfIcon iconSet="3Symbols2" iconId="2"/>
              <x14:cfIcon iconSet="3TrafficLights1" iconId="1"/>
              <x14:cfIcon iconSet="3TrafficLights1" iconId="0"/>
            </x14:iconSet>
          </x14:cfRule>
          <xm:sqref>E26:E28</xm:sqref>
        </x14:conditionalFormatting>
        <x14:conditionalFormatting xmlns:xm="http://schemas.microsoft.com/office/excel/2006/main">
          <x14:cfRule type="iconSet" priority="3" id="{68115F21-DD3E-4D28-B905-BE00CF611C28}">
            <x14:iconSet iconSet="5Arrows" custom="1">
              <x14:cfvo type="percent">
                <xm:f>0</xm:f>
              </x14:cfvo>
              <x14:cfvo type="num">
                <xm:f>40</xm:f>
              </x14:cfvo>
              <x14:cfvo type="num">
                <xm:f>80</xm:f>
              </x14:cfvo>
              <x14:cfvo type="num">
                <xm:f>110</xm:f>
              </x14:cfvo>
              <x14:cfvo type="num" gte="0">
                <xm:f>120</xm:f>
              </x14:cfvo>
              <x14:cfIcon iconSet="3TrafficLights1" iconId="0"/>
              <x14:cfIcon iconSet="3TrafficLights1" iconId="1"/>
              <x14:cfIcon iconSet="3Symbols2" iconId="2"/>
              <x14:cfIcon iconSet="3TrafficLights1" iconId="1"/>
              <x14:cfIcon iconSet="3TrafficLights1" iconId="0"/>
            </x14:iconSet>
          </x14:cfRule>
          <xm:sqref>F26:F28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Foulds</dc:creator>
  <cp:lastModifiedBy>ALWYN</cp:lastModifiedBy>
  <dcterms:created xsi:type="dcterms:W3CDTF">2018-05-28T10:12:49Z</dcterms:created>
  <dcterms:modified xsi:type="dcterms:W3CDTF">2019-06-14T09:45:26Z</dcterms:modified>
</cp:coreProperties>
</file>